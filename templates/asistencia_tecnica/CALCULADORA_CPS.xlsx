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cbookair/Downloads/"/>
    </mc:Choice>
  </mc:AlternateContent>
  <xr:revisionPtr revIDLastSave="0" documentId="8_{CC1ADC5F-970B-4C49-A35F-3BD1E2682F18}" xr6:coauthVersionLast="47" xr6:coauthVersionMax="47" xr10:uidLastSave="{00000000-0000-0000-0000-000000000000}"/>
  <bookViews>
    <workbookView xWindow="0" yWindow="0" windowWidth="28800" windowHeight="18000" xr2:uid="{00000000-000D-0000-FFFF-FFFF00000000}"/>
  </bookViews>
  <sheets>
    <sheet name="Calculador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5" i="1" l="1"/>
  <c r="C25" i="1" s="1"/>
  <c r="C31" i="1"/>
  <c r="B36" i="1"/>
  <c r="C36" i="1" s="1"/>
  <c r="B12" i="1"/>
  <c r="B15" i="1" s="1"/>
  <c r="B13" i="1" l="1"/>
  <c r="B26" i="1"/>
  <c r="C26" i="1" s="1"/>
  <c r="B17" i="1"/>
  <c r="B20" i="1"/>
  <c r="D25" i="1" l="1"/>
  <c r="B16" i="1"/>
  <c r="B21" i="1" l="1"/>
  <c r="B18" i="1"/>
  <c r="B19" i="1" s="1"/>
  <c r="B28" i="1" s="1"/>
  <c r="B22" i="1" l="1"/>
  <c r="B23" i="1" s="1"/>
  <c r="B29" i="1" l="1"/>
  <c r="B30" i="1" s="1"/>
  <c r="B31" i="1" s="1"/>
  <c r="B37" i="1" l="1"/>
  <c r="C37" i="1" s="1"/>
  <c r="D37" i="1" s="1"/>
  <c r="B32" i="1"/>
  <c r="C7" i="1" l="1"/>
  <c r="D3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ANDRES GONZALEZ</author>
  </authors>
  <commentList>
    <comment ref="C36" authorId="0" shapeId="0" xr:uid="{7137DCBB-9B03-42DE-A929-BC870BFE256B}">
      <text>
        <r>
          <rPr>
            <b/>
            <sz val="9"/>
            <color rgb="FF000000"/>
            <rFont val="Tahoma"/>
            <family val="2"/>
          </rPr>
          <t>ANDRES GONZALEZ:</t>
        </r>
        <r>
          <rPr>
            <sz val="9"/>
            <color rgb="FF000000"/>
            <rFont val="Tahoma"/>
            <family val="2"/>
          </rPr>
          <t xml:space="preserve">
</t>
        </r>
        <r>
          <rPr>
            <sz val="9"/>
            <color rgb="FF000000"/>
            <rFont val="Tahoma"/>
            <family val="2"/>
          </rPr>
          <t>es la suma de los dos amparos, asi lo toma SECOP</t>
        </r>
      </text>
    </comment>
    <comment ref="D37" authorId="0" shapeId="0" xr:uid="{84E2A015-34FD-44CF-A170-88241C471506}">
      <text>
        <r>
          <rPr>
            <b/>
            <sz val="9"/>
            <color indexed="81"/>
            <rFont val="Tahoma"/>
            <family val="2"/>
          </rPr>
          <t>ANDRES GONZALEZ:</t>
        </r>
        <r>
          <rPr>
            <sz val="9"/>
            <color indexed="81"/>
            <rFont val="Tahoma"/>
            <family val="2"/>
          </rPr>
          <t xml:space="preserve">
es la suma de los dos amparos, asi lo toma SECOP</t>
        </r>
      </text>
    </comment>
  </commentList>
</comments>
</file>

<file path=xl/sharedStrings.xml><?xml version="1.0" encoding="utf-8"?>
<sst xmlns="http://schemas.openxmlformats.org/spreadsheetml/2006/main" count="37" uniqueCount="32">
  <si>
    <t>Calculadora de Adición y Prórroga — v34</t>
  </si>
  <si>
    <t>Entradas (celdas amarillas)</t>
  </si>
  <si>
    <t>Fecha de inicio</t>
  </si>
  <si>
    <t>Plazo — Meses</t>
  </si>
  <si>
    <t>Plazo — Días</t>
  </si>
  <si>
    <t>Valor total del contrato (COP)</t>
  </si>
  <si>
    <t>Prórroga — Meses</t>
  </si>
  <si>
    <t>Prórroga — Días</t>
  </si>
  <si>
    <t>Resultados (automático)</t>
  </si>
  <si>
    <t>Fecha de terminación inicial</t>
  </si>
  <si>
    <t>Fecha de terminación con prórroga</t>
  </si>
  <si>
    <t>Inicio de prórroga (fin inicial + 1)</t>
  </si>
  <si>
    <t>Fin de prórroga (fecha final)</t>
  </si>
  <si>
    <t>Primer día del 1er mes COMPLETO</t>
  </si>
  <si>
    <t>Último día del último mes COMPLETO</t>
  </si>
  <si>
    <t>Meses COMPLETOS dentro de la prórroga</t>
  </si>
  <si>
    <t>Días proporcionales ANTES del 1er mes</t>
  </si>
  <si>
    <t>Días proporcionales DESPUÉS del último mes</t>
  </si>
  <si>
    <t>Ajuste por día 31 (incluye tramos proporcionales)</t>
  </si>
  <si>
    <t>Días proporcionales (ajustados)</t>
  </si>
  <si>
    <t>Tarifa diaria (COP)</t>
  </si>
  <si>
    <t>Tarifa mensual (COP)</t>
  </si>
  <si>
    <t>Valor adición — por meses</t>
  </si>
  <si>
    <t>Valor adición — proporcional</t>
  </si>
  <si>
    <t>Valor adición — total (teórico)</t>
  </si>
  <si>
    <t>Valor adición — redondeado (al millar)</t>
  </si>
  <si>
    <t xml:space="preserve">Valor de la garantia sin adicion </t>
  </si>
  <si>
    <t xml:space="preserve">Valor de la garantia con adicion </t>
  </si>
  <si>
    <t>se diligencia según la solicitud</t>
  </si>
  <si>
    <t>se debe verificar que sea la misma de la solicitud, de ser diferente marcar  X en no en la casilla de fecha de terminación</t>
  </si>
  <si>
    <t>el valor de la adición no puede superar la mitad del valor inicial del contrato, osea que la adición que solicitan no puede exceder el valor que está resaltado en naranja y el valor que está en color azul es el valor correcto que debe dar en el campo de la solicitud denominado adición, de no ser igual poner una X en No.</t>
  </si>
  <si>
    <t>se debe verificar que sea la misma de la solicitud, de ser diferente marcar X en no en la casilla de fecha de terminación y si supera la vigencia 2026, poner el parrafo de la prorroga. Adicionalmente en los casos que la fecha de terminación con la prorroga sea el 30 de algún mes, se debe aumentar un día en la casilla prorroga días, en este caso pondriamos 2 meses y 23 días, porque en Secretaria de Gobierno Las proyecciones para adelantar adiciones y prórrogas que se suscriban por meses y días en aquellos contratos que terminan en un mes que tiene 31 días, aun cuando la contabilización de la prórroga termine el 31 de dicho mes, la proyección de los recursos destinados a cubrir la adición deberá realizarse teniendo en cuenta la suma faltante para completar el pago de los honorarios del mes contable de los 30 días pactados. Si te das cuenta si pongo 2 meses y 22 días da el mismo valor en la adición que poner 2 meses y 23 días pero al poner 2 meses y 22 días termina el 30 de diciembre y al poner 2 meses y 23 días termina el 31 de diciembre, la fecha correcta de la solcitud es 2 meses y 23 días por ende en la casilla de Porroga en la respuesta en word, ponemos una X en No en la casilla de prorroga y ponemos abajo en la explicacion de  "Observaciones respecto de se ajusta Si/No":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</si>
</sst>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d\-mm\-yyyy"/>
    <numFmt numFmtId="165" formatCode="_-&quot;$&quot;\ * #,##0_-;\-&quot;$&quot;\ * #,##0_-;_-&quot;$&quot;\ * &quot;-&quot;??_-;_-@_-"/>
  </numFmts>
  <fonts count="8" x14ac:knownFonts="1">
    <font>
      <sz val="11"/>
      <color theme="1"/>
      <name val="Calibri"/>
      <family val="2"/>
      <scheme val="minor"/>
    </font>
    <font>
      <b/>
      <sz val="14"/>
      <name val="Calibri"/>
      <family val="2"/>
    </font>
    <font>
      <b/>
      <sz val="12"/>
      <name val="Calibri"/>
      <family val="2"/>
    </font>
    <font>
      <sz val="11"/>
      <color theme="1"/>
      <name val="Calibri"/>
      <family val="2"/>
      <scheme val="minor"/>
    </font>
    <font>
      <sz val="9"/>
      <color indexed="81"/>
      <name val="Tahoma"/>
      <family val="2"/>
    </font>
    <font>
      <b/>
      <sz val="9"/>
      <color indexed="81"/>
      <name val="Tahoma"/>
      <family val="2"/>
    </font>
    <font>
      <b/>
      <sz val="9"/>
      <color rgb="FF000000"/>
      <name val="Tahoma"/>
      <family val="2"/>
    </font>
    <font>
      <sz val="9"/>
      <color rgb="FF000000"/>
      <name val="Tahoma"/>
      <family val="2"/>
    </font>
  </fonts>
  <fills count="9">
    <fill>
      <patternFill patternType="none"/>
    </fill>
    <fill>
      <patternFill patternType="gray125"/>
    </fill>
    <fill>
      <patternFill patternType="solid">
        <fgColor rgb="FFE3F2FD"/>
      </patternFill>
    </fill>
    <fill>
      <patternFill patternType="solid">
        <fgColor rgb="FFFFF8DC"/>
      </patternFill>
    </fill>
    <fill>
      <patternFill patternType="solid">
        <fgColor rgb="FFE8F5E9"/>
      </patternFill>
    </fill>
    <fill>
      <patternFill patternType="solid">
        <fgColor theme="3" tint="0.7999816888943144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4" tint="0.59999389629810485"/>
        <bgColor indexed="64"/>
      </patternFill>
    </fill>
  </fills>
  <borders count="8">
    <border>
      <left/>
      <right/>
      <top/>
      <bottom/>
      <diagonal/>
    </border>
    <border>
      <left style="thin">
        <color rgb="FFB0B0B0"/>
      </left>
      <right style="thin">
        <color rgb="FFB0B0B0"/>
      </right>
      <top style="thin">
        <color rgb="FFB0B0B0"/>
      </top>
      <bottom style="thin">
        <color rgb="FFB0B0B0"/>
      </bottom>
      <diagonal/>
    </border>
    <border>
      <left style="thin">
        <color indexed="64"/>
      </left>
      <right style="thin">
        <color indexed="64"/>
      </right>
      <top style="thin">
        <color indexed="64"/>
      </top>
      <bottom style="thin">
        <color indexed="64"/>
      </bottom>
      <diagonal/>
    </border>
    <border>
      <left style="thin">
        <color rgb="FFB0B0B0"/>
      </left>
      <right/>
      <top style="thin">
        <color rgb="FFB0B0B0"/>
      </top>
      <bottom style="thin">
        <color rgb="FFB0B0B0"/>
      </bottom>
      <diagonal/>
    </border>
    <border>
      <left style="thin">
        <color rgb="FFB0B0B0"/>
      </left>
      <right style="thin">
        <color rgb="FFB0B0B0"/>
      </right>
      <top style="thin">
        <color rgb="FFB0B0B0"/>
      </top>
      <bottom/>
      <diagonal/>
    </border>
    <border>
      <left style="thin">
        <color rgb="FFB0B0B0"/>
      </left>
      <right style="thin">
        <color rgb="FFB0B0B0"/>
      </right>
      <top/>
      <bottom style="thin">
        <color rgb="FFB0B0B0"/>
      </bottom>
      <diagonal/>
    </border>
    <border>
      <left style="thin">
        <color rgb="FFB0B0B0"/>
      </left>
      <right/>
      <top/>
      <bottom/>
      <diagonal/>
    </border>
    <border>
      <left style="thin">
        <color indexed="64"/>
      </left>
      <right/>
      <top/>
      <bottom/>
      <diagonal/>
    </border>
  </borders>
  <cellStyleXfs count="2">
    <xf numFmtId="0" fontId="0" fillId="0" borderId="0"/>
    <xf numFmtId="44" fontId="3" fillId="0" borderId="0" applyFont="0" applyFill="0" applyBorder="0" applyAlignment="0" applyProtection="0"/>
  </cellStyleXfs>
  <cellXfs count="32">
    <xf numFmtId="0" fontId="0" fillId="0" borderId="0" xfId="0"/>
    <xf numFmtId="0" fontId="2" fillId="0" borderId="0" xfId="0" applyFont="1"/>
    <xf numFmtId="0" fontId="0" fillId="0" borderId="1" xfId="0" applyBorder="1" applyAlignment="1">
      <alignment horizontal="left" vertical="center"/>
    </xf>
    <xf numFmtId="0" fontId="0" fillId="3" borderId="1" xfId="0" applyFill="1" applyBorder="1"/>
    <xf numFmtId="0" fontId="0" fillId="0" borderId="1" xfId="0" applyBorder="1"/>
    <xf numFmtId="164" fontId="0" fillId="4" borderId="1" xfId="0" applyNumberFormat="1" applyFill="1" applyBorder="1"/>
    <xf numFmtId="0" fontId="0" fillId="4" borderId="1" xfId="0" applyFill="1" applyBorder="1"/>
    <xf numFmtId="4" fontId="0" fillId="4" borderId="1" xfId="0" applyNumberFormat="1" applyFill="1" applyBorder="1"/>
    <xf numFmtId="14" fontId="0" fillId="3" borderId="1" xfId="0" applyNumberFormat="1" applyFill="1" applyBorder="1"/>
    <xf numFmtId="4" fontId="0" fillId="0" borderId="0" xfId="0" applyNumberFormat="1"/>
    <xf numFmtId="16" fontId="0" fillId="0" borderId="0" xfId="0" applyNumberFormat="1"/>
    <xf numFmtId="165" fontId="0" fillId="6" borderId="2" xfId="1" applyNumberFormat="1" applyFont="1" applyFill="1" applyBorder="1"/>
    <xf numFmtId="0" fontId="0" fillId="0" borderId="3" xfId="0" applyBorder="1"/>
    <xf numFmtId="4" fontId="0" fillId="4" borderId="4" xfId="0" applyNumberFormat="1" applyFill="1" applyBorder="1"/>
    <xf numFmtId="4" fontId="0" fillId="4" borderId="5" xfId="0" applyNumberFormat="1" applyFill="1" applyBorder="1"/>
    <xf numFmtId="3" fontId="0" fillId="5" borderId="2" xfId="0" applyNumberFormat="1" applyFill="1" applyBorder="1"/>
    <xf numFmtId="164" fontId="0" fillId="5" borderId="2" xfId="0" applyNumberFormat="1" applyFill="1" applyBorder="1"/>
    <xf numFmtId="3" fontId="0" fillId="0" borderId="0" xfId="0" applyNumberFormat="1"/>
    <xf numFmtId="0" fontId="0" fillId="3" borderId="3" xfId="0" applyFill="1" applyBorder="1"/>
    <xf numFmtId="3" fontId="0" fillId="7" borderId="2" xfId="0" applyNumberFormat="1" applyFill="1" applyBorder="1"/>
    <xf numFmtId="165" fontId="0" fillId="0" borderId="0" xfId="0" applyNumberFormat="1"/>
    <xf numFmtId="0" fontId="0" fillId="0" borderId="2" xfId="0" applyBorder="1"/>
    <xf numFmtId="165" fontId="0" fillId="0" borderId="2" xfId="1" applyNumberFormat="1" applyFont="1" applyBorder="1"/>
    <xf numFmtId="165" fontId="0" fillId="8" borderId="2" xfId="0" applyNumberFormat="1" applyFill="1" applyBorder="1"/>
    <xf numFmtId="165" fontId="0" fillId="0" borderId="2" xfId="0" applyNumberFormat="1" applyBorder="1"/>
    <xf numFmtId="165" fontId="0" fillId="0" borderId="2" xfId="1" applyNumberFormat="1" applyFont="1" applyFill="1" applyBorder="1"/>
    <xf numFmtId="0" fontId="1" fillId="2" borderId="0" xfId="0" applyFont="1" applyFill="1" applyAlignment="1">
      <alignment horizontal="center" vertical="center"/>
    </xf>
    <xf numFmtId="0" fontId="0" fillId="0" borderId="0" xfId="0"/>
    <xf numFmtId="3" fontId="0" fillId="7" borderId="2" xfId="0" applyNumberFormat="1" applyFill="1" applyBorder="1" applyAlignment="1">
      <alignment horizontal="center" vertical="center"/>
    </xf>
    <xf numFmtId="0" fontId="0" fillId="3" borderId="6" xfId="0" applyFill="1" applyBorder="1"/>
    <xf numFmtId="0" fontId="0" fillId="0" borderId="0" xfId="0" applyAlignment="1">
      <alignment horizontal="center" wrapText="1"/>
    </xf>
    <xf numFmtId="0" fontId="0" fillId="0" borderId="7" xfId="0" applyBorder="1" applyAlignment="1">
      <alignment horizontal="center" wrapText="1"/>
    </xf>
  </cellXfs>
  <cellStyles count="2">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tabSelected="1" topLeftCell="A3" zoomScale="135" zoomScaleNormal="130" workbookViewId="0">
      <selection activeCell="C14" sqref="C14"/>
    </sheetView>
  </sheetViews>
  <sheetFormatPr baseColWidth="10" defaultColWidth="8.83203125" defaultRowHeight="15" x14ac:dyDescent="0.2"/>
  <cols>
    <col min="1" max="1" width="38" customWidth="1"/>
    <col min="2" max="2" width="28" customWidth="1"/>
    <col min="3" max="3" width="18.83203125" customWidth="1"/>
    <col min="4" max="4" width="15.33203125" bestFit="1" customWidth="1"/>
    <col min="5" max="5" width="9.1640625" bestFit="1" customWidth="1"/>
  </cols>
  <sheetData>
    <row r="1" spans="1:12" ht="18" customHeight="1" x14ac:dyDescent="0.2">
      <c r="A1" s="26" t="s">
        <v>0</v>
      </c>
      <c r="B1" s="27"/>
      <c r="C1" s="27"/>
    </row>
    <row r="3" spans="1:12" ht="16" x14ac:dyDescent="0.2">
      <c r="A3" s="1" t="s">
        <v>1</v>
      </c>
      <c r="B3" s="10"/>
    </row>
    <row r="4" spans="1:12" x14ac:dyDescent="0.2">
      <c r="A4" s="2" t="s">
        <v>2</v>
      </c>
      <c r="B4" s="8">
        <v>46031</v>
      </c>
      <c r="C4" t="s">
        <v>28</v>
      </c>
    </row>
    <row r="5" spans="1:12" x14ac:dyDescent="0.2">
      <c r="A5" s="2" t="s">
        <v>3</v>
      </c>
      <c r="B5" s="3">
        <v>9</v>
      </c>
      <c r="C5" t="s">
        <v>28</v>
      </c>
    </row>
    <row r="6" spans="1:12" x14ac:dyDescent="0.2">
      <c r="A6" s="2" t="s">
        <v>4</v>
      </c>
      <c r="B6" s="3">
        <v>0</v>
      </c>
      <c r="C6" t="s">
        <v>28</v>
      </c>
    </row>
    <row r="7" spans="1:12" x14ac:dyDescent="0.2">
      <c r="A7" s="2" t="s">
        <v>5</v>
      </c>
      <c r="B7" s="18">
        <v>50400000</v>
      </c>
      <c r="C7" s="19">
        <f>B7+B31</f>
        <v>65706666.666666664</v>
      </c>
      <c r="D7" t="s">
        <v>28</v>
      </c>
    </row>
    <row r="8" spans="1:12" x14ac:dyDescent="0.2">
      <c r="A8" s="2" t="s">
        <v>6</v>
      </c>
      <c r="B8" s="3">
        <v>2</v>
      </c>
      <c r="C8" t="s">
        <v>28</v>
      </c>
    </row>
    <row r="9" spans="1:12" x14ac:dyDescent="0.2">
      <c r="A9" s="2" t="s">
        <v>7</v>
      </c>
      <c r="B9" s="3">
        <v>23</v>
      </c>
      <c r="C9" t="s">
        <v>28</v>
      </c>
    </row>
    <row r="10" spans="1:12" x14ac:dyDescent="0.2">
      <c r="B10" s="29"/>
    </row>
    <row r="11" spans="1:12" ht="16" x14ac:dyDescent="0.2">
      <c r="A11" s="1" t="s">
        <v>8</v>
      </c>
    </row>
    <row r="12" spans="1:12" x14ac:dyDescent="0.2">
      <c r="A12" s="12" t="s">
        <v>9</v>
      </c>
      <c r="B12" s="16">
        <f>IF(AND(B4&lt;&gt;"",B5&lt;&gt;"",B6&lt;&gt;""), (EDATE(B4,B5)-1)+B6, "")</f>
        <v>46303</v>
      </c>
      <c r="C12" t="s">
        <v>29</v>
      </c>
    </row>
    <row r="13" spans="1:12" ht="88" customHeight="1" x14ac:dyDescent="0.2">
      <c r="A13" s="12" t="s">
        <v>10</v>
      </c>
      <c r="B13" s="16">
        <f>IF(AND(B12&lt;&gt;"",OR(B8&lt;&gt;"",B9&lt;&gt;"")), EDATE(B12, IF(B8="",0,B8)) + IF(B9="",0,B9), "")</f>
        <v>46387</v>
      </c>
      <c r="C13" s="31" t="s">
        <v>31</v>
      </c>
      <c r="D13" s="30"/>
      <c r="E13" s="30"/>
      <c r="F13" s="30"/>
      <c r="G13" s="30"/>
      <c r="H13" s="30"/>
      <c r="I13" s="30"/>
      <c r="J13" s="30"/>
      <c r="K13" s="30"/>
      <c r="L13" s="30"/>
    </row>
    <row r="15" spans="1:12" x14ac:dyDescent="0.2">
      <c r="A15" s="4" t="s">
        <v>11</v>
      </c>
      <c r="B15" s="5">
        <f>IF(B12="","",B12+1)</f>
        <v>46304</v>
      </c>
    </row>
    <row r="16" spans="1:12" x14ac:dyDescent="0.2">
      <c r="A16" s="4" t="s">
        <v>12</v>
      </c>
      <c r="B16" s="5">
        <f>B13</f>
        <v>46387</v>
      </c>
    </row>
    <row r="17" spans="1:11" x14ac:dyDescent="0.2">
      <c r="A17" s="4" t="s">
        <v>13</v>
      </c>
      <c r="B17" s="5">
        <f>IF(B15="","",IF(DAY(B15)=1,B15,EOMONTH(B15,0)+1))</f>
        <v>46327</v>
      </c>
    </row>
    <row r="18" spans="1:11" x14ac:dyDescent="0.2">
      <c r="A18" s="4" t="s">
        <v>14</v>
      </c>
      <c r="B18" s="5">
        <f>IF(B16="","",IF(B16=EOMONTH(B16,0),B16,EOMONTH(B16,-1)))</f>
        <v>46387</v>
      </c>
    </row>
    <row r="19" spans="1:11" x14ac:dyDescent="0.2">
      <c r="A19" s="4" t="s">
        <v>15</v>
      </c>
      <c r="B19" s="6">
        <f>IF(OR(B17="",B18=""),"",IF(B17&gt;B18,0,(YEAR(B18)*12+MONTH(B18))-(YEAR(B17)*12+MONTH(B17))+1))</f>
        <v>2</v>
      </c>
    </row>
    <row r="20" spans="1:11" x14ac:dyDescent="0.2">
      <c r="A20" s="4" t="s">
        <v>16</v>
      </c>
      <c r="B20" s="6">
        <f>IF(B15="","",IF(DAY(B15)=1,0,EOMONTH(B15,0)-B15+1))</f>
        <v>23</v>
      </c>
    </row>
    <row r="21" spans="1:11" x14ac:dyDescent="0.2">
      <c r="A21" s="4" t="s">
        <v>17</v>
      </c>
      <c r="B21" s="6">
        <f>IF(B16="","",IF(B16=EOMONTH(B16,0),0,DAY(B16)))</f>
        <v>0</v>
      </c>
    </row>
    <row r="22" spans="1:11" x14ac:dyDescent="0.2">
      <c r="A22" s="4" t="s">
        <v>18</v>
      </c>
      <c r="B22" s="6">
        <f>IF(OR(B15="",B16=""),"", IF(B19=0, IF(MONTH(B15)=MONTH(B16), IF(DAY(EOMONTH(B16,0))=31,1,0), IF(DAY(EOMONTH(B15,0))=31,1,0)+IF(DAY(B16)=31,1,0)), IF(B20&gt;0,IF(DAY(EOMONTH(B15,0))=31,1,0),0) + IF(AND(B21&gt;0,DAY(B16)=31),1,0) ))</f>
        <v>1</v>
      </c>
    </row>
    <row r="23" spans="1:11" x14ac:dyDescent="0.2">
      <c r="A23" s="4" t="s">
        <v>19</v>
      </c>
      <c r="B23" s="6">
        <f>IF(OR(B20="",B21="",B22="",B19=""),"", IF(B19=0, B16-B15+1-B22, B20+B21-B22))</f>
        <v>22</v>
      </c>
    </row>
    <row r="25" spans="1:11" x14ac:dyDescent="0.2">
      <c r="A25" s="4" t="s">
        <v>20</v>
      </c>
      <c r="B25" s="7">
        <f>IFERROR(B7/(30*B5+B6),"")</f>
        <v>186666.66666666666</v>
      </c>
      <c r="C25" s="9">
        <f>B25*2</f>
        <v>373333.33333333331</v>
      </c>
      <c r="D25" s="28">
        <f>C26+C25</f>
        <v>5973333.333333333</v>
      </c>
    </row>
    <row r="26" spans="1:11" x14ac:dyDescent="0.2">
      <c r="A26" s="4" t="s">
        <v>21</v>
      </c>
      <c r="B26" s="7">
        <f>IF(B25="","",B25*30)</f>
        <v>5600000</v>
      </c>
      <c r="C26" s="9">
        <f>B26*1</f>
        <v>5600000</v>
      </c>
      <c r="D26" s="28"/>
    </row>
    <row r="27" spans="1:11" x14ac:dyDescent="0.2">
      <c r="C27" s="9"/>
      <c r="D27" s="9"/>
    </row>
    <row r="28" spans="1:11" x14ac:dyDescent="0.2">
      <c r="A28" s="4" t="s">
        <v>22</v>
      </c>
      <c r="B28" s="7">
        <f>IF(OR(B19="",B26=""),"",B19*B26)</f>
        <v>11200000</v>
      </c>
    </row>
    <row r="29" spans="1:11" x14ac:dyDescent="0.2">
      <c r="A29" s="4" t="s">
        <v>23</v>
      </c>
      <c r="B29" s="7">
        <f>IF(OR(B23="",B25=""),"",B23*B25)</f>
        <v>4106666.6666666665</v>
      </c>
      <c r="E29" s="17"/>
    </row>
    <row r="30" spans="1:11" x14ac:dyDescent="0.2">
      <c r="A30" s="4" t="s">
        <v>24</v>
      </c>
      <c r="B30" s="13">
        <f>IF(OR(B28="",B29=""),"",B28+B29)</f>
        <v>15306666.666666666</v>
      </c>
    </row>
    <row r="31" spans="1:11" ht="61" customHeight="1" x14ac:dyDescent="0.2">
      <c r="A31" s="12"/>
      <c r="B31" s="15">
        <f>B30</f>
        <v>15306666.666666666</v>
      </c>
      <c r="C31" s="11">
        <f>B7/2</f>
        <v>25200000</v>
      </c>
      <c r="D31" s="20">
        <f>C31-B31</f>
        <v>9893333.333333334</v>
      </c>
      <c r="E31" s="30" t="s">
        <v>30</v>
      </c>
      <c r="F31" s="30"/>
      <c r="G31" s="30"/>
      <c r="H31" s="30"/>
      <c r="I31" s="30"/>
      <c r="J31" s="30"/>
      <c r="K31" s="30"/>
    </row>
    <row r="32" spans="1:11" x14ac:dyDescent="0.2">
      <c r="A32" s="4" t="s">
        <v>25</v>
      </c>
      <c r="B32" s="14">
        <f>IF(B30="","",ROUND(B30,-3))</f>
        <v>15307000</v>
      </c>
    </row>
    <row r="36" spans="1:4" x14ac:dyDescent="0.2">
      <c r="A36" s="21" t="s">
        <v>26</v>
      </c>
      <c r="B36" s="25">
        <f>B7*10%</f>
        <v>5040000</v>
      </c>
      <c r="C36" s="23">
        <f>B36*2</f>
        <v>10080000</v>
      </c>
    </row>
    <row r="37" spans="1:4" x14ac:dyDescent="0.2">
      <c r="A37" s="21" t="s">
        <v>27</v>
      </c>
      <c r="B37" s="22">
        <f>B7+B31</f>
        <v>65706666.666666664</v>
      </c>
      <c r="C37" s="24">
        <f>B37*10%</f>
        <v>6570666.666666667</v>
      </c>
      <c r="D37" s="23">
        <f>C37*2</f>
        <v>13141333.333333334</v>
      </c>
    </row>
  </sheetData>
  <mergeCells count="4">
    <mergeCell ref="A1:C1"/>
    <mergeCell ref="D25:D26"/>
    <mergeCell ref="C13:L13"/>
    <mergeCell ref="E31:K31"/>
  </mergeCells>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Calculadora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Ingrith Khaterine Martinez Sanchez</cp:lastModifiedBy>
  <dcterms:created xsi:type="dcterms:W3CDTF">2025-08-30T14:59:32Z</dcterms:created>
  <dcterms:modified xsi:type="dcterms:W3CDTF">2026-09-15T18:11:35Z</dcterms:modified>
</cp:coreProperties>
</file>